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TH\FTH-D365_FO\Localization_D356\"/>
    </mc:Choice>
  </mc:AlternateContent>
  <xr:revisionPtr revIDLastSave="0" documentId="8_{FCEC2095-1C40-4628-9197-D531EA0D9D4E}" xr6:coauthVersionLast="47" xr6:coauthVersionMax="47" xr10:uidLastSave="{00000000-0000-0000-0000-000000000000}"/>
  <bookViews>
    <workbookView xWindow="-120" yWindow="-120" windowWidth="20730" windowHeight="11040" xr2:uid="{7487716B-7649-456E-800F-94D0FB340039}"/>
  </bookViews>
  <sheets>
    <sheet name="Draft effort and Time 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21" i="2" l="1"/>
</calcChain>
</file>

<file path=xl/sharedStrings.xml><?xml version="1.0" encoding="utf-8"?>
<sst xmlns="http://schemas.openxmlformats.org/spreadsheetml/2006/main" count="77" uniqueCount="62">
  <si>
    <t>Topic</t>
  </si>
  <si>
    <t>No.</t>
  </si>
  <si>
    <t>Estimated Effort (MD)</t>
  </si>
  <si>
    <t>Estimated Timeline</t>
  </si>
  <si>
    <t xml:space="preserve">  2.1 Design(MD)</t>
  </si>
  <si>
    <t xml:space="preserve">  2.2 Development(MD)</t>
  </si>
  <si>
    <t xml:space="preserve">  2.3 Unit Test(MD)</t>
  </si>
  <si>
    <t xml:space="preserve">  2.4 Test and prepare document (MD)</t>
  </si>
  <si>
    <t>Additional Reverse Unrealized VAT</t>
  </si>
  <si>
    <t>4 Weeks</t>
  </si>
  <si>
    <t>AR Withholding Tax Journal Report (TH)</t>
  </si>
  <si>
    <t>3 Weeks</t>
  </si>
  <si>
    <t>DMF for Journal (Import Tax Information)</t>
  </si>
  <si>
    <t>Combine Related Voucher</t>
  </si>
  <si>
    <t>Add Exchange Rate for Free Text Invoice</t>
  </si>
  <si>
    <t>Inquiry SO Line (Order/Packing/Invoice Qty)</t>
  </si>
  <si>
    <t>Inquiry PO Line (Order/Receipt/Invoice Qty)</t>
  </si>
  <si>
    <t>Receipt / Tax Invoice</t>
  </si>
  <si>
    <t>Bank Advance</t>
  </si>
  <si>
    <t>2 Weeks</t>
  </si>
  <si>
    <t>Split Fixed Asset by Quantity</t>
  </si>
  <si>
    <t>Number Sequence Group for Return Order</t>
  </si>
  <si>
    <t>Print Multiple Voucher</t>
  </si>
  <si>
    <t>Picking List Display Sale Unit</t>
  </si>
  <si>
    <t>Recommended Project Phases</t>
  </si>
  <si>
    <t xml:space="preserve">Phase 1 </t>
  </si>
  <si>
    <t xml:space="preserve">Phase 2 </t>
  </si>
  <si>
    <t xml:space="preserve">  Currency Selling / Buying</t>
  </si>
  <si>
    <t xml:space="preserve">  Non-Post Voucher for PO/SO</t>
  </si>
  <si>
    <t xml:space="preserve">Phase 3 </t>
  </si>
  <si>
    <t xml:space="preserve">  Separate Movement Journal between Issue &amp; Receive</t>
  </si>
  <si>
    <t xml:space="preserve">  Restore Void SO/PO</t>
  </si>
  <si>
    <t>POC</t>
  </si>
  <si>
    <t>POC TC</t>
  </si>
  <si>
    <t>1 Weeks</t>
  </si>
  <si>
    <t>Total = 4 weeks</t>
  </si>
  <si>
    <t>Total = 8-12 Weeks</t>
  </si>
  <si>
    <t>Total = 6-7 Weeks</t>
  </si>
  <si>
    <r>
      <rPr>
        <b/>
        <sz val="10"/>
        <color theme="1"/>
        <rFont val="Tahoma"/>
        <family val="2"/>
      </rPr>
      <t xml:space="preserve">Additional Reverse Unrealized VAT </t>
    </r>
    <r>
      <rPr>
        <sz val="10"/>
        <color theme="1"/>
        <rFont val="Tahoma"/>
        <family val="2"/>
      </rPr>
      <t xml:space="preserve">
    Add new fields and functions to support Reverse Unrealized VAT, and include the additional information in the tax reports.
     &gt; Tax registration Number 
    &gt; Tax Address Type
    &gt; Branch Number 
    &gt; Vendor account 
    &gt; Posting date </t>
    </r>
  </si>
  <si>
    <r>
      <rPr>
        <b/>
        <sz val="10"/>
        <color theme="1"/>
        <rFont val="Tahoma"/>
        <family val="2"/>
      </rPr>
      <t>Withholding Tax Accounts Receivable Journal Report (Thailand)</t>
    </r>
    <r>
      <rPr>
        <sz val="10"/>
        <color theme="1"/>
        <rFont val="Tahoma"/>
        <family val="2"/>
      </rPr>
      <t xml:space="preserve">
    Modify the Microsoft Thailand Localization (MS TH Localization) for Accounts Receivable Withholding Tax to ensure the report functions correctly.</t>
    </r>
  </si>
  <si>
    <r>
      <rPr>
        <b/>
        <sz val="10"/>
        <color theme="1"/>
        <rFont val="Tahoma"/>
        <family val="2"/>
      </rPr>
      <t>DMF for Journal</t>
    </r>
    <r>
      <rPr>
        <sz val="10"/>
        <color theme="1"/>
        <rFont val="Tahoma"/>
        <family val="2"/>
      </rPr>
      <t xml:space="preserve">
   Enhance the Data Management Framework (DMF) journal entities to support importing Tax Information.
   - Invoice number / Invoice date / Invoice receipt date 
   - Tax invoice number / Tax invoice date / Tax invoice receipt date
   - Vendor account /Name /Tax branch / Tax ID/ Vendor address type</t>
    </r>
  </si>
  <si>
    <r>
      <rPr>
        <b/>
        <sz val="10"/>
        <color theme="1"/>
        <rFont val="Tahoma"/>
        <family val="2"/>
      </rPr>
      <t>Combine Related Voucher with Main Voucher</t>
    </r>
    <r>
      <rPr>
        <sz val="10"/>
        <color theme="1"/>
        <rFont val="Tahoma"/>
        <family val="2"/>
      </rPr>
      <t xml:space="preserve">
   Customize the system to combine related vouchers into the main voucher, following the standard voucher grouping logic.Such as:
    &gt; Reverse unrealized VAT (only auto reverse)
   &gt; WHT tac transaction 
   &gt; Realized Exchange rate Gain loss
   &gt; Etc.</t>
    </r>
  </si>
  <si>
    <r>
      <rPr>
        <b/>
        <sz val="10"/>
        <color theme="1"/>
        <rFont val="Tahoma"/>
        <family val="2"/>
      </rPr>
      <t>Add Exchange Rate for Free Text Invoice Adjustment</t>
    </r>
    <r>
      <rPr>
        <sz val="10"/>
        <color theme="1"/>
        <rFont val="Tahoma"/>
        <family val="2"/>
      </rPr>
      <t xml:space="preserve">
   Add an Exchange Rate field to the Free Text Invoice screen and customize the system to use this field can Fixed rate instead of the standard exchange rate during processing.</t>
    </r>
  </si>
  <si>
    <r>
      <rPr>
        <b/>
        <sz val="10"/>
        <color theme="1"/>
        <rFont val="Tahoma"/>
        <family val="2"/>
      </rPr>
      <t>Sales Order Line Inquiry – Order, Packing Slip, Invoice, and Remaining Quantity</t>
    </r>
    <r>
      <rPr>
        <sz val="10"/>
        <color theme="1"/>
        <rFont val="Tahoma"/>
        <family val="2"/>
      </rPr>
      <t xml:space="preserve">
   Develop a new inquiry screen to display the following quantity information for Sales Order lines:
  - Ordered Quantity
  - Packing Slip Quantity and Remaining Quantity
  - Invoice Quantity and Remaining Quantity</t>
    </r>
  </si>
  <si>
    <r>
      <rPr>
        <b/>
        <sz val="10"/>
        <color theme="1"/>
        <rFont val="Tahoma"/>
        <family val="2"/>
      </rPr>
      <t>Purchase Order Line Inquiry – Order, Product Receipt, Invoice, and Remaining Quantity</t>
    </r>
    <r>
      <rPr>
        <sz val="10"/>
        <color theme="1"/>
        <rFont val="Tahoma"/>
        <family val="2"/>
      </rPr>
      <t xml:space="preserve">
    Develop a new inquiry screen to display the following quantity information for Purchase Order lines:
   - Ordered Quantity
   - Product Receipt Quantity and Remaining Quantity
   - Invoice Quantity and Remaining Quantity</t>
    </r>
  </si>
  <si>
    <r>
      <rPr>
        <b/>
        <sz val="10"/>
        <color theme="1"/>
        <rFont val="Tahoma"/>
        <family val="2"/>
      </rPr>
      <t>Receipt / Tax Invoice</t>
    </r>
    <r>
      <rPr>
        <sz val="10"/>
        <color theme="1"/>
        <rFont val="Tahoma"/>
        <family val="2"/>
      </rPr>
      <t xml:space="preserve">
    Customize the Receipt/Tax Invoice functionality and Document to support the following formats:
    - Detail/ Summary
    - Before / After receipt</t>
    </r>
  </si>
  <si>
    <r>
      <rPr>
        <b/>
        <sz val="10"/>
        <color theme="1"/>
        <rFont val="Tahoma"/>
        <family val="2"/>
      </rPr>
      <t xml:space="preserve">Bank Advance </t>
    </r>
    <r>
      <rPr>
        <sz val="10"/>
        <color theme="1"/>
        <rFont val="Tahoma"/>
        <family val="2"/>
      </rPr>
      <t xml:space="preserve">
    Modify the import logic so that the system no longer requires the Route Number, allowing bank statements to be imported according to the supported file format.</t>
    </r>
  </si>
  <si>
    <r>
      <rPr>
        <b/>
        <sz val="10"/>
        <color theme="1"/>
        <rFont val="Tahoma"/>
        <family val="2"/>
      </rPr>
      <t>Currency Selling / Buying Exchange Rate</t>
    </r>
    <r>
      <rPr>
        <sz val="10"/>
        <color theme="1"/>
        <rFont val="Tahoma"/>
        <family val="2"/>
      </rPr>
      <t xml:space="preserve">
      Enhance the exchange rate functionality to:
      - Maintain separate Selling and Buying exchange rates.
      - Provide filtering options to display only Selling or Buying exchange rates.</t>
    </r>
  </si>
  <si>
    <r>
      <rPr>
        <b/>
        <sz val="10"/>
        <color theme="1"/>
        <rFont val="Tahoma"/>
        <family val="2"/>
      </rPr>
      <t>Print Non-Posted Voucher for PO/SO</t>
    </r>
    <r>
      <rPr>
        <sz val="10"/>
        <color theme="1"/>
        <rFont val="Tahoma"/>
        <family val="2"/>
      </rPr>
      <t xml:space="preserve">
      Enable users to print Non-Posted Vouchers before posting Purchase Order or Sales Order invoices.</t>
    </r>
  </si>
  <si>
    <r>
      <rPr>
        <b/>
        <sz val="10"/>
        <color theme="1"/>
        <rFont val="Tahoma"/>
        <family val="2"/>
      </rPr>
      <t>Split Fixed Asset by Quantity</t>
    </r>
    <r>
      <rPr>
        <sz val="10"/>
        <color theme="1"/>
        <rFont val="Tahoma"/>
        <family val="2"/>
      </rPr>
      <t xml:space="preserve">
      Enhance the Fixed Asset functionality to allow assets to be split based on quantity.</t>
    </r>
  </si>
  <si>
    <r>
      <rPr>
        <b/>
        <sz val="10"/>
        <color theme="1"/>
        <rFont val="Tahoma"/>
        <family val="2"/>
      </rPr>
      <t>Number Sequence Group for Return Order</t>
    </r>
    <r>
      <rPr>
        <sz val="10"/>
        <color theme="1"/>
        <rFont val="Tahoma"/>
        <family val="2"/>
      </rPr>
      <t xml:space="preserve">
      Customize the system so that the appropriate Number Sequence Group is automatically assigned based on the selected Return Order configuration.</t>
    </r>
  </si>
  <si>
    <r>
      <rPr>
        <b/>
        <sz val="10"/>
        <color theme="1"/>
        <rFont val="Tahoma"/>
        <family val="2"/>
      </rPr>
      <t>Print Multiple Vouchers</t>
    </r>
    <r>
      <rPr>
        <sz val="10"/>
        <color theme="1"/>
        <rFont val="Tahoma"/>
        <family val="2"/>
      </rPr>
      <t xml:space="preserve">
       Develop a function that allows users to print multiple vouchers simultaneously by specifying voucher numbers or batch numbers as selection criteria. Or select mutiple voucher for print in each time.</t>
    </r>
  </si>
  <si>
    <r>
      <rPr>
        <b/>
        <sz val="10"/>
        <color theme="1"/>
        <rFont val="Tahoma"/>
        <family val="2"/>
      </rPr>
      <t>Picking List Display Sales Unit</t>
    </r>
    <r>
      <rPr>
        <sz val="10"/>
        <color theme="1"/>
        <rFont val="Tahoma"/>
        <family val="2"/>
      </rPr>
      <t xml:space="preserve">
      Customize the Picking List report to display both the Sales Quantity and the Sales Unit.</t>
    </r>
  </si>
  <si>
    <r>
      <rPr>
        <b/>
        <sz val="10"/>
        <color theme="1"/>
        <rFont val="Tahoma"/>
        <family val="2"/>
      </rPr>
      <t>Separate Movement Journal for Issue and Receipt</t>
    </r>
    <r>
      <rPr>
        <sz val="10"/>
        <color theme="1"/>
        <rFont val="Tahoma"/>
        <family val="2"/>
      </rPr>
      <t xml:space="preserve">
       Customize Inventory Movement journal to:
       - Maintain separate Movement Journal setups for Issue and Receipt transactions.
      - Automatically assign a negative quantity when processing Issue transactions.</t>
    </r>
  </si>
  <si>
    <r>
      <rPr>
        <b/>
        <sz val="10"/>
        <color theme="1"/>
        <rFont val="Tahoma"/>
        <family val="2"/>
      </rPr>
      <t>Restore Voided Sales Orders / Purchase Orders</t>
    </r>
    <r>
      <rPr>
        <sz val="10"/>
        <color theme="1"/>
        <rFont val="Tahoma"/>
        <family val="2"/>
      </rPr>
      <t xml:space="preserve">
      Develop a function to restore voided Sales Orders (SO) and Purchase Orders (PO) so they can be processed again.</t>
    </r>
  </si>
  <si>
    <t xml:space="preserve">***Remark </t>
  </si>
  <si>
    <t>1. Design – Functional-level design documentation only (does not include detailed type or field-level specifications).</t>
  </si>
  <si>
    <t>2. Development</t>
  </si>
  <si>
    <t>3. Unit Testing</t>
  </si>
  <si>
    <t>4. Testing and Documentation Preparation</t>
  </si>
  <si>
    <t>Below is the Preliminary Effort Estimation &amp; Timeline, consisting of the following phases:</t>
  </si>
  <si>
    <t>Preliminary Effort Estimation &amp; Timeline for additional Microsoft D365FO Thai localized.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</si>
</sst>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/>
    <xf numFmtId="0" fontId="2" fillId="0" borderId="0" xfId="0" applyFont="1" applyAlignment="1">
      <alignment horizontal="left" vertical="center" indent="1"/>
    </xf>
    <xf numFmtId="0" fontId="1" fillId="5" borderId="0" xfId="0" applyFont="1" applyFill="1" applyAlignment="1">
      <alignment vertical="center"/>
    </xf>
    <xf numFmtId="0" fontId="2" fillId="5" borderId="0" xfId="0" applyFont="1" applyFill="1"/>
    <xf numFmtId="0" fontId="1" fillId="6" borderId="0" xfId="0" applyFont="1" applyFill="1" applyAlignment="1">
      <alignment vertical="center"/>
    </xf>
    <xf numFmtId="0" fontId="2" fillId="6" borderId="0" xfId="0" applyFont="1" applyFill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16CA-FD10-4724-BC32-F70E89DBCE08}">
  <sheetPr>
    <tabColor theme="6" tint="0.79998168889431442"/>
  </sheetPr>
  <dimension ref="A1:I55"/>
  <sheetViews>
    <sheetView tabSelected="1" zoomScale="96" zoomScaleNormal="96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B54" sqref="B54"/>
    </sheetView>
  </sheetViews>
  <sheetFormatPr defaultRowHeight="12.75" x14ac:dyDescent="0.2"/>
  <cols>
    <col min="1" max="1" width="4.140625" style="2" bestFit="1" customWidth="1"/>
    <col min="2" max="2" width="90.42578125" style="2" customWidth="1"/>
    <col min="3" max="3" width="25.7109375" style="2" customWidth="1"/>
    <col min="4" max="4" width="18.140625" style="2" customWidth="1"/>
    <col min="5" max="5" width="18.5703125" style="2" customWidth="1"/>
    <col min="6" max="6" width="19" style="2" customWidth="1"/>
    <col min="7" max="7" width="19.28515625" style="2" customWidth="1"/>
    <col min="8" max="8" width="25" style="2" customWidth="1"/>
    <col min="9" max="16384" width="9.140625" style="2"/>
  </cols>
  <sheetData>
    <row r="1" spans="1:9" x14ac:dyDescent="0.2">
      <c r="A1" s="1" t="s">
        <v>61</v>
      </c>
    </row>
    <row r="3" spans="1:9" ht="25.5" x14ac:dyDescent="0.2">
      <c r="A3" s="3" t="s">
        <v>1</v>
      </c>
      <c r="B3" s="3" t="s">
        <v>0</v>
      </c>
      <c r="C3" s="3" t="s">
        <v>2</v>
      </c>
      <c r="D3" s="3" t="s">
        <v>3</v>
      </c>
      <c r="E3" s="4" t="s">
        <v>4</v>
      </c>
      <c r="F3" s="5" t="s">
        <v>5</v>
      </c>
      <c r="G3" s="5" t="s">
        <v>6</v>
      </c>
      <c r="H3" s="4" t="s">
        <v>7</v>
      </c>
    </row>
    <row r="4" spans="1:9" ht="102" x14ac:dyDescent="0.2">
      <c r="A4" s="6">
        <v>1</v>
      </c>
      <c r="B4" s="7" t="s">
        <v>38</v>
      </c>
      <c r="C4" s="8">
        <f>SUM(E4:H4)</f>
        <v>12</v>
      </c>
      <c r="D4" s="7" t="s">
        <v>19</v>
      </c>
      <c r="E4" s="7">
        <v>2</v>
      </c>
      <c r="F4" s="7">
        <v>5</v>
      </c>
      <c r="G4" s="7">
        <v>2</v>
      </c>
      <c r="H4" s="7">
        <v>3</v>
      </c>
    </row>
    <row r="5" spans="1:9" ht="38.25" x14ac:dyDescent="0.2">
      <c r="A5" s="6">
        <v>2</v>
      </c>
      <c r="B5" s="7" t="s">
        <v>39</v>
      </c>
      <c r="C5" s="8">
        <f t="shared" ref="C5:C20" si="0">SUM(E5:H5)</f>
        <v>6</v>
      </c>
      <c r="D5" s="7" t="s">
        <v>34</v>
      </c>
      <c r="E5" s="7">
        <v>2</v>
      </c>
      <c r="F5" s="7">
        <v>1</v>
      </c>
      <c r="G5" s="7">
        <v>1</v>
      </c>
      <c r="H5" s="7">
        <v>2</v>
      </c>
    </row>
    <row r="6" spans="1:9" ht="79.5" customHeight="1" x14ac:dyDescent="0.2">
      <c r="A6" s="6">
        <v>3</v>
      </c>
      <c r="B6" s="7" t="s">
        <v>40</v>
      </c>
      <c r="C6" s="8">
        <f t="shared" si="0"/>
        <v>9</v>
      </c>
      <c r="D6" s="7" t="s">
        <v>19</v>
      </c>
      <c r="E6" s="7">
        <v>1</v>
      </c>
      <c r="F6" s="7">
        <v>5</v>
      </c>
      <c r="G6" s="7">
        <v>1</v>
      </c>
      <c r="H6" s="7">
        <v>2</v>
      </c>
    </row>
    <row r="7" spans="1:9" ht="89.25" x14ac:dyDescent="0.2">
      <c r="A7" s="6">
        <v>4</v>
      </c>
      <c r="B7" s="9" t="s">
        <v>41</v>
      </c>
      <c r="C7" s="10">
        <f t="shared" si="0"/>
        <v>17</v>
      </c>
      <c r="D7" s="9" t="s">
        <v>11</v>
      </c>
      <c r="E7" s="9">
        <v>2</v>
      </c>
      <c r="F7" s="9">
        <v>10</v>
      </c>
      <c r="G7" s="9">
        <v>2</v>
      </c>
      <c r="H7" s="9">
        <v>3</v>
      </c>
    </row>
    <row r="8" spans="1:9" ht="69.75" customHeight="1" x14ac:dyDescent="0.2">
      <c r="A8" s="6">
        <v>5</v>
      </c>
      <c r="B8" s="9" t="s">
        <v>42</v>
      </c>
      <c r="C8" s="10">
        <f t="shared" si="0"/>
        <v>6</v>
      </c>
      <c r="D8" s="9" t="s">
        <v>34</v>
      </c>
      <c r="E8" s="9">
        <v>1</v>
      </c>
      <c r="F8" s="9">
        <v>3</v>
      </c>
      <c r="G8" s="9">
        <v>1</v>
      </c>
      <c r="H8" s="9">
        <v>1</v>
      </c>
    </row>
    <row r="9" spans="1:9" ht="63.75" x14ac:dyDescent="0.2">
      <c r="A9" s="6">
        <v>6</v>
      </c>
      <c r="B9" s="9" t="s">
        <v>43</v>
      </c>
      <c r="C9" s="10">
        <f t="shared" si="0"/>
        <v>10</v>
      </c>
      <c r="D9" s="9" t="s">
        <v>19</v>
      </c>
      <c r="E9" s="9">
        <v>2</v>
      </c>
      <c r="F9" s="9">
        <v>3</v>
      </c>
      <c r="G9" s="9">
        <v>1</v>
      </c>
      <c r="H9" s="9">
        <v>4</v>
      </c>
    </row>
    <row r="10" spans="1:9" ht="63.75" x14ac:dyDescent="0.2">
      <c r="A10" s="6">
        <v>7</v>
      </c>
      <c r="B10" s="9" t="s">
        <v>44</v>
      </c>
      <c r="C10" s="10">
        <f t="shared" si="0"/>
        <v>10</v>
      </c>
      <c r="D10" s="9" t="s">
        <v>19</v>
      </c>
      <c r="E10" s="9">
        <v>2</v>
      </c>
      <c r="F10" s="9">
        <v>3</v>
      </c>
      <c r="G10" s="9">
        <v>1</v>
      </c>
      <c r="H10" s="9">
        <v>4</v>
      </c>
    </row>
    <row r="11" spans="1:9" ht="51" x14ac:dyDescent="0.2">
      <c r="A11" s="6">
        <v>8</v>
      </c>
      <c r="B11" s="9" t="s">
        <v>45</v>
      </c>
      <c r="C11" s="10">
        <f t="shared" si="0"/>
        <v>23</v>
      </c>
      <c r="D11" s="9" t="s">
        <v>9</v>
      </c>
      <c r="E11" s="9">
        <v>5</v>
      </c>
      <c r="F11" s="9">
        <v>10</v>
      </c>
      <c r="G11" s="9">
        <v>3</v>
      </c>
      <c r="H11" s="9">
        <v>5</v>
      </c>
    </row>
    <row r="12" spans="1:9" ht="38.25" x14ac:dyDescent="0.2">
      <c r="A12" s="6">
        <v>9</v>
      </c>
      <c r="B12" s="9" t="s">
        <v>46</v>
      </c>
      <c r="C12" s="10">
        <f t="shared" si="0"/>
        <v>5</v>
      </c>
      <c r="D12" s="9" t="s">
        <v>34</v>
      </c>
      <c r="E12" s="9">
        <v>1</v>
      </c>
      <c r="F12" s="9">
        <v>1</v>
      </c>
      <c r="G12" s="9">
        <v>1</v>
      </c>
      <c r="H12" s="9">
        <v>2</v>
      </c>
    </row>
    <row r="13" spans="1:9" ht="51" x14ac:dyDescent="0.2">
      <c r="A13" s="6">
        <v>10</v>
      </c>
      <c r="B13" s="9" t="s">
        <v>47</v>
      </c>
      <c r="C13" s="10">
        <f t="shared" si="0"/>
        <v>10</v>
      </c>
      <c r="D13" s="9" t="s">
        <v>19</v>
      </c>
      <c r="E13" s="9">
        <v>3</v>
      </c>
      <c r="F13" s="9">
        <v>3</v>
      </c>
      <c r="G13" s="9">
        <v>1</v>
      </c>
      <c r="H13" s="9">
        <v>3</v>
      </c>
    </row>
    <row r="14" spans="1:9" ht="25.5" x14ac:dyDescent="0.2">
      <c r="A14" s="6">
        <v>11</v>
      </c>
      <c r="B14" s="9" t="s">
        <v>48</v>
      </c>
      <c r="C14" s="10">
        <f t="shared" si="0"/>
        <v>7</v>
      </c>
      <c r="D14" s="9" t="s">
        <v>34</v>
      </c>
      <c r="E14" s="9">
        <v>2</v>
      </c>
      <c r="F14" s="9" t="s">
        <v>32</v>
      </c>
      <c r="G14" s="9" t="s">
        <v>32</v>
      </c>
      <c r="H14" s="9">
        <v>5</v>
      </c>
    </row>
    <row r="15" spans="1:9" ht="25.5" x14ac:dyDescent="0.2">
      <c r="A15" s="6">
        <v>12</v>
      </c>
      <c r="B15" s="11" t="s">
        <v>49</v>
      </c>
      <c r="C15" s="12">
        <f t="shared" si="0"/>
        <v>11</v>
      </c>
      <c r="D15" s="11" t="s">
        <v>19</v>
      </c>
      <c r="E15" s="11">
        <v>1</v>
      </c>
      <c r="F15" s="11">
        <v>8</v>
      </c>
      <c r="G15" s="11">
        <v>1</v>
      </c>
      <c r="H15" s="11">
        <v>1</v>
      </c>
      <c r="I15" s="2" t="s">
        <v>33</v>
      </c>
    </row>
    <row r="16" spans="1:9" ht="38.25" x14ac:dyDescent="0.2">
      <c r="A16" s="6">
        <v>13</v>
      </c>
      <c r="B16" s="11" t="s">
        <v>50</v>
      </c>
      <c r="C16" s="12">
        <f t="shared" si="0"/>
        <v>5</v>
      </c>
      <c r="D16" s="11" t="s">
        <v>34</v>
      </c>
      <c r="E16" s="11">
        <v>1</v>
      </c>
      <c r="F16" s="11">
        <v>2</v>
      </c>
      <c r="G16" s="11">
        <v>1</v>
      </c>
      <c r="H16" s="11">
        <v>1</v>
      </c>
    </row>
    <row r="17" spans="1:9" ht="38.25" x14ac:dyDescent="0.2">
      <c r="A17" s="6">
        <v>14</v>
      </c>
      <c r="B17" s="11" t="s">
        <v>51</v>
      </c>
      <c r="C17" s="12">
        <f t="shared" si="0"/>
        <v>19</v>
      </c>
      <c r="D17" s="11" t="s">
        <v>11</v>
      </c>
      <c r="E17" s="11">
        <v>2</v>
      </c>
      <c r="F17" s="11">
        <v>12</v>
      </c>
      <c r="G17" s="11">
        <v>3</v>
      </c>
      <c r="H17" s="11">
        <v>2</v>
      </c>
    </row>
    <row r="18" spans="1:9" ht="25.5" x14ac:dyDescent="0.2">
      <c r="A18" s="6">
        <v>15</v>
      </c>
      <c r="B18" s="11" t="s">
        <v>52</v>
      </c>
      <c r="C18" s="12">
        <f t="shared" si="0"/>
        <v>7</v>
      </c>
      <c r="D18" s="11" t="s">
        <v>34</v>
      </c>
      <c r="E18" s="11">
        <v>1</v>
      </c>
      <c r="F18" s="11">
        <v>2</v>
      </c>
      <c r="G18" s="11">
        <v>1</v>
      </c>
      <c r="H18" s="11">
        <v>3</v>
      </c>
    </row>
    <row r="19" spans="1:9" ht="51" x14ac:dyDescent="0.2">
      <c r="A19" s="6">
        <v>16</v>
      </c>
      <c r="B19" s="11" t="s">
        <v>53</v>
      </c>
      <c r="C19" s="12">
        <f t="shared" si="0"/>
        <v>6</v>
      </c>
      <c r="D19" s="11" t="s">
        <v>34</v>
      </c>
      <c r="E19" s="11">
        <v>1</v>
      </c>
      <c r="F19" s="11">
        <v>3</v>
      </c>
      <c r="G19" s="11">
        <v>1</v>
      </c>
      <c r="H19" s="11">
        <v>1</v>
      </c>
    </row>
    <row r="20" spans="1:9" ht="38.25" x14ac:dyDescent="0.2">
      <c r="A20" s="6">
        <v>17</v>
      </c>
      <c r="B20" s="11" t="s">
        <v>54</v>
      </c>
      <c r="C20" s="12">
        <f t="shared" si="0"/>
        <v>5</v>
      </c>
      <c r="D20" s="11" t="s">
        <v>34</v>
      </c>
      <c r="E20" s="11">
        <v>1</v>
      </c>
      <c r="F20" s="11">
        <v>2</v>
      </c>
      <c r="G20" s="11">
        <v>1</v>
      </c>
      <c r="H20" s="11">
        <v>1</v>
      </c>
      <c r="I20" s="2" t="s">
        <v>33</v>
      </c>
    </row>
    <row r="21" spans="1:9" x14ac:dyDescent="0.2">
      <c r="C21" s="1">
        <f>SUM(C4:C20)</f>
        <v>168</v>
      </c>
      <c r="D21" s="1"/>
      <c r="E21" s="1"/>
      <c r="F21" s="1"/>
      <c r="G21" s="1"/>
      <c r="H21" s="1"/>
    </row>
    <row r="22" spans="1:9" x14ac:dyDescent="0.2">
      <c r="B22" s="1" t="s">
        <v>55</v>
      </c>
    </row>
    <row r="23" spans="1:9" x14ac:dyDescent="0.2">
      <c r="B23" s="2" t="s">
        <v>60</v>
      </c>
    </row>
    <row r="24" spans="1:9" x14ac:dyDescent="0.2">
      <c r="B24" s="2" t="s">
        <v>56</v>
      </c>
    </row>
    <row r="25" spans="1:9" x14ac:dyDescent="0.2">
      <c r="B25" s="2" t="s">
        <v>57</v>
      </c>
    </row>
    <row r="26" spans="1:9" x14ac:dyDescent="0.2">
      <c r="B26" s="2" t="s">
        <v>58</v>
      </c>
    </row>
    <row r="27" spans="1:9" x14ac:dyDescent="0.2">
      <c r="B27" s="2" t="s">
        <v>59</v>
      </c>
    </row>
    <row r="30" spans="1:9" x14ac:dyDescent="0.2">
      <c r="A30" s="13" t="s">
        <v>24</v>
      </c>
    </row>
    <row r="31" spans="1:9" x14ac:dyDescent="0.2">
      <c r="A31" s="14" t="s">
        <v>25</v>
      </c>
      <c r="B31" s="15"/>
    </row>
    <row r="32" spans="1:9" x14ac:dyDescent="0.2">
      <c r="B32" s="16" t="s">
        <v>8</v>
      </c>
    </row>
    <row r="33" spans="1:2" x14ac:dyDescent="0.2">
      <c r="B33" s="16" t="s">
        <v>10</v>
      </c>
    </row>
    <row r="34" spans="1:2" x14ac:dyDescent="0.2">
      <c r="B34" s="16" t="s">
        <v>12</v>
      </c>
    </row>
    <row r="35" spans="1:2" x14ac:dyDescent="0.2">
      <c r="B35" s="21" t="s">
        <v>35</v>
      </c>
    </row>
    <row r="37" spans="1:2" x14ac:dyDescent="0.2">
      <c r="A37" s="17" t="s">
        <v>26</v>
      </c>
      <c r="B37" s="18"/>
    </row>
    <row r="38" spans="1:2" x14ac:dyDescent="0.2">
      <c r="B38" s="16" t="s">
        <v>13</v>
      </c>
    </row>
    <row r="39" spans="1:2" x14ac:dyDescent="0.2">
      <c r="B39" s="16" t="s">
        <v>14</v>
      </c>
    </row>
    <row r="40" spans="1:2" x14ac:dyDescent="0.2">
      <c r="B40" s="16" t="s">
        <v>15</v>
      </c>
    </row>
    <row r="41" spans="1:2" x14ac:dyDescent="0.2">
      <c r="B41" s="16" t="s">
        <v>16</v>
      </c>
    </row>
    <row r="42" spans="1:2" x14ac:dyDescent="0.2">
      <c r="B42" s="16" t="s">
        <v>17</v>
      </c>
    </row>
    <row r="43" spans="1:2" x14ac:dyDescent="0.2">
      <c r="B43" s="16" t="s">
        <v>18</v>
      </c>
    </row>
    <row r="44" spans="1:2" x14ac:dyDescent="0.2">
      <c r="B44" s="2" t="s">
        <v>27</v>
      </c>
    </row>
    <row r="45" spans="1:2" x14ac:dyDescent="0.2">
      <c r="B45" s="2" t="s">
        <v>28</v>
      </c>
    </row>
    <row r="46" spans="1:2" x14ac:dyDescent="0.2">
      <c r="B46" s="1" t="s">
        <v>36</v>
      </c>
    </row>
    <row r="48" spans="1:2" x14ac:dyDescent="0.2">
      <c r="A48" s="19" t="s">
        <v>29</v>
      </c>
      <c r="B48" s="20"/>
    </row>
    <row r="49" spans="2:2" x14ac:dyDescent="0.2">
      <c r="B49" s="16" t="s">
        <v>20</v>
      </c>
    </row>
    <row r="50" spans="2:2" x14ac:dyDescent="0.2">
      <c r="B50" s="16" t="s">
        <v>21</v>
      </c>
    </row>
    <row r="51" spans="2:2" x14ac:dyDescent="0.2">
      <c r="B51" s="16" t="s">
        <v>22</v>
      </c>
    </row>
    <row r="52" spans="2:2" x14ac:dyDescent="0.2">
      <c r="B52" s="16" t="s">
        <v>23</v>
      </c>
    </row>
    <row r="53" spans="2:2" x14ac:dyDescent="0.2">
      <c r="B53" s="2" t="s">
        <v>30</v>
      </c>
    </row>
    <row r="54" spans="2:2" x14ac:dyDescent="0.2">
      <c r="B54" s="2" t="s">
        <v>31</v>
      </c>
    </row>
    <row r="55" spans="2:2" x14ac:dyDescent="0.2">
      <c r="B55" s="1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effort and Time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Nopparat, Kanyarat</dc:creator>
  <cp:lastModifiedBy>Witit Weannaimuang</cp:lastModifiedBy>
  <dcterms:created xsi:type="dcterms:W3CDTF">2026-07-10T03:35:19Z</dcterms:created>
  <dcterms:modified xsi:type="dcterms:W3CDTF">2026-10-21T02:05:47Z</dcterms:modified>
</cp:coreProperties>
</file>